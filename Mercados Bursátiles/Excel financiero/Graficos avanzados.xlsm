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filterPrivacy="1" codeName="ThisWorkbook" defaultThemeVersion="124226"/>
  <xr:revisionPtr revIDLastSave="16" documentId="8_{37C52760-B6E4-4E70-A259-4473101B3026}" xr6:coauthVersionLast="45" xr6:coauthVersionMax="45" xr10:uidLastSave="{047511D1-F633-4EC6-9C1A-C2FE84516CCE}"/>
  <bookViews>
    <workbookView xWindow="2595" yWindow="2595" windowWidth="15375" windowHeight="7875" tabRatio="922" firstSheet="2" activeTab="6" xr2:uid="{00000000-000D-0000-FFFF-FFFF00000000}"/>
  </bookViews>
  <sheets>
    <sheet name="SENSITIVITY" sheetId="37" r:id="rId1"/>
    <sheet name="columna" sheetId="36" r:id="rId2"/>
    <sheet name="donuts" sheetId="28" r:id="rId3"/>
    <sheet name="area y linea" sheetId="26" r:id="rId4"/>
    <sheet name="miniatura" sheetId="33" r:id="rId5"/>
    <sheet name="jerarquia" sheetId="34" r:id="rId6"/>
    <sheet name="puentes" sheetId="35" r:id="rId7"/>
  </sheets>
  <externalReferences>
    <externalReference r:id="rId8"/>
  </externalReferences>
  <definedNames>
    <definedName name="_xlchart.v1.0" hidden="1">jerarquia!$B$5:$C$16</definedName>
    <definedName name="_xlchart.v1.1" hidden="1">jerarquia!$D$4</definedName>
    <definedName name="_xlchart.v1.10" hidden="1">puentes!$B$4:$B$9</definedName>
    <definedName name="_xlchart.v1.11" hidden="1">puentes!$C$4:$C$9</definedName>
    <definedName name="_xlchart.v1.2" hidden="1">jerarquia!$D$5:$D$16</definedName>
    <definedName name="_xlchart.v1.3" hidden="1">jerarquia!$B$5:$C$16</definedName>
    <definedName name="_xlchart.v1.4" hidden="1">jerarquia!$D$4</definedName>
    <definedName name="_xlchart.v1.5" hidden="1">jerarquia!$D$5:$D$16</definedName>
    <definedName name="_xlchart.v1.6" hidden="1">puentes!$B$4:$B$9</definedName>
    <definedName name="_xlchart.v1.7" hidden="1">puentes!$C$4:$C$9</definedName>
    <definedName name="_xlchart.v1.8" hidden="1">puentes!$B$4:$B$9</definedName>
    <definedName name="_xlchart.v1.9" hidden="1">puentes!$C$4:$C$9</definedName>
    <definedName name="_xlcn.WorksheetConnection_3.4BridgeChartB4C81" hidden="1">'[1]3'!$B$4:$C$8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Rango-eb6f380e-b8b6-4587-a479-84aa63c28da7" name="Rango" connection="WorksheetConnection_3.4 Bridge Chart!$B$4:$C$8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37" l="1"/>
  <c r="D9" i="37" s="1"/>
  <c r="C9" i="3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3.4 Bridge Chart!$B$4:$C$8" type="102" refreshedVersion="5" minRefreshableVersion="5">
    <extLst>
      <ext xmlns:x15="http://schemas.microsoft.com/office/spreadsheetml/2010/11/main" uri="{DE250136-89BD-433C-8126-D09CA5730AF9}">
        <x15:connection id="Rango-eb6f380e-b8b6-4587-a479-84aa63c28da7" autoDelete="1" usedByAddin="1">
          <x15:rangePr sourceName="_xlcn.WorksheetConnection_3.4BridgeChartB4C81"/>
        </x15:connection>
      </ext>
    </extLst>
  </connection>
</connections>
</file>

<file path=xl/sharedStrings.xml><?xml version="1.0" encoding="utf-8"?>
<sst xmlns="http://schemas.openxmlformats.org/spreadsheetml/2006/main" count="76" uniqueCount="56">
  <si>
    <t>Other revenues</t>
  </si>
  <si>
    <t>Other income</t>
  </si>
  <si>
    <t>Net Sales</t>
  </si>
  <si>
    <t>Personnel expenses</t>
  </si>
  <si>
    <t>Recharges</t>
  </si>
  <si>
    <t>Direct costs</t>
  </si>
  <si>
    <t>Other operating expenses</t>
  </si>
  <si>
    <t>EBITDA</t>
  </si>
  <si>
    <t>Gross Margin %</t>
  </si>
  <si>
    <t>Revenues</t>
  </si>
  <si>
    <t>FY16</t>
  </si>
  <si>
    <t>FY17</t>
  </si>
  <si>
    <t>FY18</t>
  </si>
  <si>
    <t>Period</t>
  </si>
  <si>
    <t>Nov-14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</si>
  <si>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</si>
  <si>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</si>
  <si>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</si>
  <si>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</si>
  <si>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</si>
  <si>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</si>
  <si>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</si>
  <si>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</si>
  <si>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</si>
  <si>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Country</t>
  </si>
  <si>
    <t>City</t>
  </si>
  <si>
    <t>Tourists</t>
  </si>
  <si>
    <t>Italy</t>
  </si>
  <si>
    <t>Rome</t>
  </si>
  <si>
    <t>Milan</t>
  </si>
  <si>
    <t>Florence</t>
  </si>
  <si>
    <t>Venice</t>
  </si>
  <si>
    <t>France</t>
  </si>
  <si>
    <t>Paris</t>
  </si>
  <si>
    <t>Nizza</t>
  </si>
  <si>
    <t>Marseille</t>
  </si>
  <si>
    <t>Nantes</t>
  </si>
  <si>
    <t>United Kingdom</t>
  </si>
  <si>
    <t>London</t>
  </si>
  <si>
    <t>Manchester</t>
  </si>
  <si>
    <t>Newcastle</t>
  </si>
  <si>
    <t>Liverpool</t>
  </si>
  <si>
    <t>donuts</t>
  </si>
  <si>
    <t>area y linea</t>
  </si>
  <si>
    <t>ventas</t>
  </si>
  <si>
    <t>jorge</t>
  </si>
  <si>
    <t>andres</t>
  </si>
  <si>
    <t>pedro</t>
  </si>
  <si>
    <t>jerarquia</t>
  </si>
  <si>
    <t>puentes</t>
  </si>
  <si>
    <t>Columna</t>
  </si>
  <si>
    <t>i</t>
  </si>
  <si>
    <t>vp</t>
  </si>
  <si>
    <t>plazo</t>
  </si>
  <si>
    <t>vf</t>
  </si>
  <si>
    <t>Valor Futuro ante diferentes escenarios de tipos de interés y plazos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</si>
</sst>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\ #,##0.00;[Red]\-&quot;$&quot;\ #,##0.00"/>
    <numFmt numFmtId="165" formatCode="_-&quot;$&quot;\ * #,##0_-;\-&quot;$&quot;\ * #,##0_-;_-&quot;$&quot;\ * &quot;-&quot;_-;_-@_-"/>
    <numFmt numFmtId="166" formatCode="_-&quot;$&quot;\ * #,##0.00_-;\-&quot;$&quot;\ * #,##0.00_-;_-&quot;$&quot;\ * &quot;-&quot;??_-;_-@_-"/>
    <numFmt numFmtId="167" formatCode="_(* #,##0.0_);_(* \(#,##0.0\);_(* &quot;-&quot;??_);_(@_)"/>
    <numFmt numFmtId="168" formatCode="0.0%"/>
    <numFmt numFmtId="169" formatCode="0.0"/>
    <numFmt numFmtId="170" formatCode="dd/mm/yyyy;@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8">
    <xf numFmtId="0" fontId="0" fillId="0" borderId="0"/>
    <xf numFmtId="0" fontId="4" fillId="0" borderId="1" applyFill="0" applyProtection="0">
      <alignment horizontal="right" wrapText="1"/>
    </xf>
    <xf numFmtId="9" fontId="5" fillId="0" borderId="0" applyFont="0" applyFill="0" applyBorder="0" applyAlignment="0" applyProtection="0"/>
    <xf numFmtId="0" fontId="9" fillId="0" borderId="0"/>
    <xf numFmtId="0" fontId="10" fillId="0" borderId="0"/>
    <xf numFmtId="9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5" fontId="5" fillId="0" borderId="0" applyFont="0" applyFill="0" applyBorder="0" applyAlignment="0" applyProtection="0"/>
  </cellStyleXfs>
  <cellXfs count="3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1" fillId="2" borderId="0" xfId="0" applyFont="1" applyFill="1" applyAlignment="1">
      <alignment horizontal="right"/>
    </xf>
    <xf numFmtId="2" fontId="1" fillId="2" borderId="0" xfId="0" applyNumberFormat="1" applyFont="1" applyFill="1"/>
    <xf numFmtId="169" fontId="1" fillId="2" borderId="0" xfId="0" applyNumberFormat="1" applyFont="1" applyFill="1"/>
    <xf numFmtId="168" fontId="1" fillId="2" borderId="0" xfId="2" applyNumberFormat="1" applyFont="1" applyFill="1"/>
    <xf numFmtId="168" fontId="1" fillId="2" borderId="0" xfId="2" applyNumberFormat="1" applyFont="1" applyFill="1" applyAlignment="1">
      <alignment horizontal="right"/>
    </xf>
    <xf numFmtId="0" fontId="6" fillId="2" borderId="0" xfId="0" applyFont="1" applyFill="1" applyAlignment="1">
      <alignment vertical="top"/>
    </xf>
    <xf numFmtId="0" fontId="7" fillId="2" borderId="0" xfId="0" applyFont="1" applyFill="1"/>
    <xf numFmtId="0" fontId="8" fillId="2" borderId="2" xfId="0" applyFont="1" applyFill="1" applyBorder="1"/>
    <xf numFmtId="170" fontId="8" fillId="2" borderId="2" xfId="0" applyNumberFormat="1" applyFont="1" applyFill="1" applyBorder="1" applyAlignment="1">
      <alignment horizontal="right"/>
    </xf>
    <xf numFmtId="0" fontId="8" fillId="2" borderId="2" xfId="0" applyFont="1" applyFill="1" applyBorder="1" applyAlignment="1">
      <alignment horizontal="right"/>
    </xf>
    <xf numFmtId="0" fontId="8" fillId="2" borderId="0" xfId="0" applyFont="1" applyFill="1" applyBorder="1" applyAlignment="1">
      <alignment horizontal="right"/>
    </xf>
    <xf numFmtId="170" fontId="7" fillId="2" borderId="0" xfId="0" applyNumberFormat="1" applyFont="1" applyFill="1"/>
    <xf numFmtId="9" fontId="7" fillId="2" borderId="0" xfId="0" applyNumberFormat="1" applyFont="1" applyFill="1"/>
    <xf numFmtId="0" fontId="9" fillId="0" borderId="0" xfId="3"/>
    <xf numFmtId="0" fontId="6" fillId="2" borderId="0" xfId="0" applyFont="1" applyFill="1"/>
    <xf numFmtId="167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0" fontId="10" fillId="0" borderId="0" xfId="4"/>
    <xf numFmtId="168" fontId="0" fillId="0" borderId="0" xfId="5" applyNumberFormat="1" applyFont="1" applyAlignment="1"/>
    <xf numFmtId="9" fontId="10" fillId="0" borderId="0" xfId="4" applyNumberFormat="1"/>
    <xf numFmtId="166" fontId="0" fillId="0" borderId="0" xfId="6" applyFont="1" applyAlignment="1"/>
    <xf numFmtId="0" fontId="10" fillId="0" borderId="0" xfId="4" applyFill="1"/>
    <xf numFmtId="164" fontId="0" fillId="0" borderId="0" xfId="6" applyNumberFormat="1" applyFont="1" applyAlignment="1"/>
    <xf numFmtId="164" fontId="10" fillId="0" borderId="0" xfId="4" applyNumberFormat="1"/>
    <xf numFmtId="165" fontId="10" fillId="0" borderId="0" xfId="7" applyFont="1"/>
  </cellXfs>
  <cellStyles count="8">
    <cellStyle name="Moneda [0]" xfId="7" builtinId="7"/>
    <cellStyle name="Moneda 2" xfId="6" xr:uid="{4ABF9A7B-ACE2-4CFB-B4E6-7DE8B32FBD65}"/>
    <cellStyle name="Normal" xfId="0" builtinId="0"/>
    <cellStyle name="Normal 2" xfId="3" xr:uid="{00000000-0005-0000-0000-000003000000}"/>
    <cellStyle name="Normal 3" xfId="4" xr:uid="{CFED9ED6-EA6C-4F21-B8E4-A58EB6734DAD}"/>
    <cellStyle name="Porcentaje" xfId="2" builtinId="5"/>
    <cellStyle name="Porcentaje 2" xfId="5" xr:uid="{47A84CA4-76E0-495C-B0D0-F9552EF77A93}"/>
    <cellStyle name="Smart Subtitle 1" xfId="1" xr:uid="{00000000-0005-0000-0000-000005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columna!$A$4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columna!$B$3:$D$3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columna!$B$4:$D$4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FC-4DA8-9372-C314A7F18F7F}"/>
            </c:ext>
          </c:extLst>
        </c:ser>
        <c:ser>
          <c:idx val="1"/>
          <c:order val="1"/>
          <c:tx>
            <c:strRef>
              <c:f>columna!$A$5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columna!$B$3:$D$3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columna!$B$5:$D$5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FC-4DA8-9372-C314A7F18F7F}"/>
            </c:ext>
          </c:extLst>
        </c:ser>
        <c:ser>
          <c:idx val="2"/>
          <c:order val="2"/>
          <c:tx>
            <c:strRef>
              <c:f>columna!$A$6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columna!$B$3:$D$3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columna!$B$6:$D$6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FC-4DA8-9372-C314A7F18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85235263"/>
        <c:axId val="1183777151"/>
      </c:barChart>
      <c:lineChart>
        <c:grouping val="standard"/>
        <c:varyColors val="0"/>
        <c:ser>
          <c:idx val="3"/>
          <c:order val="3"/>
          <c:tx>
            <c:strRef>
              <c:f>columna!$A$7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columna!$B$3:$D$3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columna!$B$7:$D$7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FC-4DA8-9372-C314A7F18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6000351"/>
        <c:axId val="1220301999"/>
      </c:lineChart>
      <c:catAx>
        <c:axId val="118523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83777151"/>
        <c:crosses val="autoZero"/>
        <c:auto val="1"/>
        <c:lblAlgn val="ctr"/>
        <c:lblOffset val="100"/>
        <c:noMultiLvlLbl val="0"/>
      </c:catAx>
      <c:valAx>
        <c:axId val="118377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85235263"/>
        <c:crosses val="autoZero"/>
        <c:crossBetween val="between"/>
      </c:valAx>
      <c:valAx>
        <c:axId val="1220301999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76000351"/>
        <c:crosses val="max"/>
        <c:crossBetween val="between"/>
      </c:valAx>
      <c:catAx>
        <c:axId val="1176000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030199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donuts!$C$3</c:f>
              <c:strCache>
                <c:ptCount val="1"/>
                <c:pt idx="0">
                  <c:v>FY16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E5-43BB-8327-ECDFA5401B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5E5-43BB-8327-ECDFA5401B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E5-43BB-8327-ECDFA5401BC6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E5-43BB-8327-ECDFA5401BC6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E5-43BB-8327-ECDFA5401BC6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E5-43BB-8327-ECDFA5401B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donuts!$B$4:$B$6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donuts!$C$4:$C$6</c:f>
              <c:numCache>
                <c:formatCode>0.0</c:formatCode>
                <c:ptCount val="3"/>
                <c:pt idx="0">
                  <c:v>14.500341000000001</c:v>
                </c:pt>
                <c:pt idx="1">
                  <c:v>4.7948561920000001</c:v>
                </c:pt>
                <c:pt idx="2">
                  <c:v>3.2200542519999997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E5-43BB-8327-ECDFA5401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'area y linea'!$B$4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'area y linea'!$C$3:$E$3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y linea'!$C$4:$E$4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8-4D90-8A94-68E91A6E4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385999"/>
        <c:axId val="1179579055"/>
      </c:areaChart>
      <c:lineChart>
        <c:grouping val="standard"/>
        <c:varyColors val="0"/>
        <c:ser>
          <c:idx val="1"/>
          <c:order val="1"/>
          <c:tx>
            <c:strRef>
              <c:f>'area y linea'!$B$5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'area y linea'!$C$3:$E$3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'area y linea'!$C$5:$E$5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78-4D90-8A94-68E91A6E4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8646799"/>
        <c:axId val="1179583215"/>
      </c:lineChart>
      <c:catAx>
        <c:axId val="1425385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79579055"/>
        <c:crosses val="autoZero"/>
        <c:auto val="1"/>
        <c:lblAlgn val="ctr"/>
        <c:lblOffset val="100"/>
        <c:noMultiLvlLbl val="0"/>
      </c:catAx>
      <c:valAx>
        <c:axId val="117957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25385999"/>
        <c:crosses val="autoZero"/>
        <c:crossBetween val="between"/>
      </c:valAx>
      <c:valAx>
        <c:axId val="1179583215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28646799"/>
        <c:crosses val="max"/>
        <c:crossBetween val="between"/>
      </c:valAx>
      <c:catAx>
        <c:axId val="1428646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958321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/>
    <cx:plotArea>
      <cx:plotAreaRegion>
        <cx:series layoutId="treemap" uniqueId="{0F34B192-C7CA-4486-81E0-84ED6680203A}">
          <cx:tx>
            <cx:txData>
              <cx:f>_xlchart.v1.4</cx:f>
              <cx:v>Tourists</cx:v>
            </cx:txData>
          </cx:tx>
          <cx:dataLabels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/>
    <cx:plotArea>
      <cx:plotAreaRegion>
        <cx:series layoutId="waterfall" uniqueId="{BFB7DBA6-DB0E-42F9-906B-0FB98D4BD053}"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742420</xdr:colOff>
      <xdr:row>2</xdr:row>
      <xdr:rowOff>57679</xdr:rowOff>
    </xdr:from>
    <xdr:to>
      <xdr:col>9</xdr:col>
      <xdr:colOff>742420</xdr:colOff>
      <xdr:row>16</xdr:row>
      <xdr:rowOff>124354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69A676-688E-4391-AD19-37A1327527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647699</xdr:colOff>
      <xdr:row>8</xdr:row>
      <xdr:rowOff>33337</xdr:rowOff>
    </xdr:from>
    <xdr:to>
      <xdr:col>6</xdr:col>
      <xdr:colOff>52386</xdr:colOff>
      <xdr:row>22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311D7A-BAC6-4DA7-9D93-369A614E20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1030433</xdr:colOff>
      <xdr:row>6</xdr:row>
      <xdr:rowOff>43295</xdr:rowOff>
    </xdr:from>
    <xdr:to>
      <xdr:col>7</xdr:col>
      <xdr:colOff>251115</xdr:colOff>
      <xdr:row>20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2C8CA08-1954-4DD2-8D49-859724762B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166686</xdr:colOff>
      <xdr:row>2</xdr:row>
      <xdr:rowOff>42862</xdr:rowOff>
    </xdr:from>
    <xdr:to>
      <xdr:col>14</xdr:col>
      <xdr:colOff>152399</xdr:colOff>
      <xdr:row>16</xdr:row>
      <xdr:rowOff>119062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31989354-2DFA-4604-BC4C-022D536DBD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86186" y="433387"/>
              <a:ext cx="5795963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138112</xdr:colOff>
      <xdr:row>0</xdr:row>
      <xdr:rowOff>176212</xdr:rowOff>
    </xdr:from>
    <xdr:to>
      <xdr:col>10</xdr:col>
      <xdr:colOff>442912</xdr:colOff>
      <xdr:row>18</xdr:row>
      <xdr:rowOff>128587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B1185290-F742-4D9E-9697-580392E3AE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5062" y="17621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r_c\Downloads\graficos-avanzados_952aef95-fb6b-4f62-9ba7-a7f3a3617bd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52F1C-3C31-445C-B9B4-4980504C7B4A}">
  <dimension ref="B2:J13"/>
  <sheetViews>
    <sheetView topLeftCell="C1" zoomScale="80" zoomScaleNormal="80" workbookViewId="0">
      <selection activeCell="E10" sqref="E10:I13"/>
    </sheetView>
  </sheetViews>
  <sheetFormatPr baseColWidth="10" defaultRowHeight="14.25" x14ac:dyDescent="0.2"/>
  <cols>
    <col min="1" max="2" width="11.42578125" style="22"/>
    <col min="3" max="4" width="15.85546875" style="22" bestFit="1" customWidth="1"/>
    <col min="5" max="5" width="16.28515625" style="22" bestFit="1" customWidth="1"/>
    <col min="6" max="8" width="15.85546875" style="22" bestFit="1" customWidth="1"/>
    <col min="9" max="10" width="17" style="22" bestFit="1" customWidth="1"/>
    <col min="11" max="16384" width="11.42578125" style="22"/>
  </cols>
  <sheetData>
    <row r="2" spans="2:10" ht="15" x14ac:dyDescent="0.25">
      <c r="B2" s="26" t="s">
        <v>55</v>
      </c>
      <c r="C2" s="26"/>
      <c r="D2" s="26"/>
      <c r="E2" s="26"/>
      <c r="F2" s="26"/>
      <c r="J2" s="23"/>
    </row>
    <row r="3" spans="2:10" ht="15" x14ac:dyDescent="0.25">
      <c r="J3" s="23"/>
    </row>
    <row r="4" spans="2:10" ht="15" x14ac:dyDescent="0.25">
      <c r="B4" s="22" t="s">
        <v>51</v>
      </c>
      <c r="C4" s="24">
        <v>0.05</v>
      </c>
      <c r="J4" s="23"/>
    </row>
    <row r="5" spans="2:10" ht="15" x14ac:dyDescent="0.25">
      <c r="B5" s="22" t="s">
        <v>52</v>
      </c>
      <c r="C5" s="25">
        <v>5000000</v>
      </c>
      <c r="J5" s="23"/>
    </row>
    <row r="6" spans="2:10" ht="15" x14ac:dyDescent="0.25">
      <c r="B6" s="22" t="s">
        <v>53</v>
      </c>
      <c r="C6" s="22">
        <v>5</v>
      </c>
      <c r="J6" s="23"/>
    </row>
    <row r="7" spans="2:10" ht="15" x14ac:dyDescent="0.25">
      <c r="B7" s="22" t="s">
        <v>54</v>
      </c>
      <c r="C7" s="27">
        <f>ABS(FV(C4,C6,,C5,0))</f>
        <v>6381407.8125000009</v>
      </c>
    </row>
    <row r="9" spans="2:10" x14ac:dyDescent="0.2">
      <c r="D9" s="28">
        <f>C7</f>
        <v>6381407.8125000009</v>
      </c>
      <c r="E9" s="24">
        <v>0.03</v>
      </c>
      <c r="F9" s="24">
        <v>0.04</v>
      </c>
      <c r="G9" s="24">
        <v>0.05</v>
      </c>
      <c r="H9" s="24">
        <v>0.08</v>
      </c>
      <c r="I9" s="24">
        <v>0.1</v>
      </c>
    </row>
    <row r="10" spans="2:10" x14ac:dyDescent="0.2">
      <c r="D10" s="22">
        <v>2</v>
      </c>
      <c r="E10" s="29">
        <f t="dataTable" ref="E10:I13" dt2D="1" dtr="1" r1="C4" r2="C6"/>
        <v>5304500</v>
      </c>
      <c r="F10" s="29">
        <v>5408000.0000000009</v>
      </c>
      <c r="G10" s="29">
        <v>5512500</v>
      </c>
      <c r="H10" s="29">
        <v>5832000.0000000009</v>
      </c>
      <c r="I10" s="29">
        <v>6050000.0000000009</v>
      </c>
    </row>
    <row r="11" spans="2:10" x14ac:dyDescent="0.2">
      <c r="D11" s="22">
        <v>5</v>
      </c>
      <c r="E11" s="29">
        <v>5796370.3714999994</v>
      </c>
      <c r="F11" s="29">
        <v>6083264.512000002</v>
      </c>
      <c r="G11" s="29">
        <v>6381407.8125000009</v>
      </c>
      <c r="H11" s="29">
        <v>7346640.3840000015</v>
      </c>
      <c r="I11" s="29">
        <v>8052550.0000000028</v>
      </c>
    </row>
    <row r="12" spans="2:10" x14ac:dyDescent="0.2">
      <c r="D12" s="22">
        <v>7</v>
      </c>
      <c r="E12" s="29">
        <v>6149369.3271243498</v>
      </c>
      <c r="F12" s="29">
        <v>6579658.8961792011</v>
      </c>
      <c r="G12" s="29">
        <v>7035502.1132812509</v>
      </c>
      <c r="H12" s="29">
        <v>8569121.3438976035</v>
      </c>
      <c r="I12" s="29">
        <v>9743585.5000000056</v>
      </c>
    </row>
    <row r="13" spans="2:10" x14ac:dyDescent="0.2">
      <c r="D13" s="22">
        <v>10</v>
      </c>
      <c r="E13" s="29">
        <v>6719581.8967206087</v>
      </c>
      <c r="F13" s="29">
        <v>7401221.4245917229</v>
      </c>
      <c r="G13" s="29">
        <v>8144473.1338872081</v>
      </c>
      <c r="H13" s="29">
        <v>10794624.986363938</v>
      </c>
      <c r="I13" s="29">
        <v>12968712.300500009</v>
      </c>
    </row>
  </sheetData>
  <conditionalFormatting sqref="E10:I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9F46B-69B8-414F-AB19-F6BE23C4452F}">
  <dimension ref="A1:D7"/>
  <sheetViews>
    <sheetView topLeftCell="B1" zoomScale="90" zoomScaleNormal="90" workbookViewId="0">
      <selection activeCell="B4" sqref="B4:B6"/>
    </sheetView>
  </sheetViews>
  <sheetFormatPr baseColWidth="10" defaultRowHeight="15" x14ac:dyDescent="0.25"/>
  <cols>
    <col min="1" max="1" width="13.5703125" bestFit="1" customWidth="1"/>
  </cols>
  <sheetData>
    <row r="1" spans="1:4" ht="15.75" x14ac:dyDescent="0.25">
      <c r="A1" s="2" t="s">
        <v>50</v>
      </c>
      <c r="B1" s="1"/>
      <c r="C1" s="1"/>
      <c r="D1" s="1"/>
    </row>
    <row r="2" spans="1:4" x14ac:dyDescent="0.25">
      <c r="A2" s="1"/>
      <c r="B2" s="1"/>
      <c r="C2" s="1"/>
      <c r="D2" s="1"/>
    </row>
    <row r="3" spans="1:4" ht="15.75" thickBot="1" x14ac:dyDescent="0.3">
      <c r="A3" s="4"/>
      <c r="B3" s="4" t="s">
        <v>10</v>
      </c>
      <c r="C3" s="4" t="s">
        <v>11</v>
      </c>
      <c r="D3" s="4" t="s">
        <v>12</v>
      </c>
    </row>
    <row r="4" spans="1:4" x14ac:dyDescent="0.25">
      <c r="A4" s="7" t="s">
        <v>2</v>
      </c>
      <c r="B4" s="7">
        <v>14.500341000000001</v>
      </c>
      <c r="C4" s="7">
        <v>16.148295364999999</v>
      </c>
      <c r="D4" s="7">
        <v>15.047803019</v>
      </c>
    </row>
    <row r="5" spans="1:4" x14ac:dyDescent="0.25">
      <c r="A5" s="7" t="s">
        <v>0</v>
      </c>
      <c r="B5" s="7">
        <v>4.7948561920000001</v>
      </c>
      <c r="C5" s="7">
        <v>6.9602176449999993</v>
      </c>
      <c r="D5" s="7">
        <v>6.3736175140000002</v>
      </c>
    </row>
    <row r="6" spans="1:4" x14ac:dyDescent="0.25">
      <c r="A6" s="7" t="s">
        <v>4</v>
      </c>
      <c r="B6" s="7">
        <v>3.2200542519999997</v>
      </c>
      <c r="C6" s="7">
        <v>2.9240919949999999</v>
      </c>
      <c r="D6" s="7">
        <v>4.8931777299999997</v>
      </c>
    </row>
    <row r="7" spans="1:4" x14ac:dyDescent="0.25">
      <c r="A7" s="8" t="s">
        <v>8</v>
      </c>
      <c r="B7" s="8">
        <v>0.80329281353949789</v>
      </c>
      <c r="C7" s="8">
        <v>0.79014052477841912</v>
      </c>
      <c r="D7" s="8">
        <v>0.78437246085651935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zoomScaleNormal="100" workbookViewId="0">
      <selection activeCell="H19" sqref="H19"/>
    </sheetView>
  </sheetViews>
  <sheetFormatPr baseColWidth="10" defaultColWidth="9.140625" defaultRowHeight="12" x14ac:dyDescent="0.2"/>
  <cols>
    <col min="1" max="1" width="2" style="1" customWidth="1"/>
    <col min="2" max="2" width="18.5703125" style="1" bestFit="1" customWidth="1"/>
    <col min="3" max="16384" width="9.140625" style="1"/>
  </cols>
  <sheetData>
    <row r="1" spans="2:5" ht="15.75" x14ac:dyDescent="0.25">
      <c r="B1" s="2" t="s">
        <v>42</v>
      </c>
    </row>
    <row r="3" spans="2:5" ht="12.75" thickBot="1" x14ac:dyDescent="0.25">
      <c r="B3" s="3"/>
      <c r="C3" s="4" t="s">
        <v>10</v>
      </c>
      <c r="D3" s="4" t="s">
        <v>11</v>
      </c>
      <c r="E3" s="4" t="s">
        <v>12</v>
      </c>
    </row>
    <row r="4" spans="2:5" x14ac:dyDescent="0.2">
      <c r="B4" s="7" t="s">
        <v>2</v>
      </c>
      <c r="C4" s="7">
        <v>14.500341000000001</v>
      </c>
      <c r="D4" s="7">
        <v>16.148295364999999</v>
      </c>
      <c r="E4" s="7">
        <v>15.047803019</v>
      </c>
    </row>
    <row r="5" spans="2:5" x14ac:dyDescent="0.2">
      <c r="B5" s="7" t="s">
        <v>0</v>
      </c>
      <c r="C5" s="7">
        <v>4.7948561920000001</v>
      </c>
      <c r="D5" s="7">
        <v>6.9602176449999993</v>
      </c>
      <c r="E5" s="7">
        <v>6.3736175140000002</v>
      </c>
    </row>
    <row r="6" spans="2:5" x14ac:dyDescent="0.2">
      <c r="B6" s="7" t="s">
        <v>4</v>
      </c>
      <c r="C6" s="7">
        <v>3.2200542519999997</v>
      </c>
      <c r="D6" s="7">
        <v>2.9240919949999999</v>
      </c>
      <c r="E6" s="7">
        <v>4.8931777299999997</v>
      </c>
    </row>
    <row r="7" spans="2:5" x14ac:dyDescent="0.2">
      <c r="B7" s="6"/>
      <c r="C7" s="8"/>
      <c r="D7" s="8"/>
      <c r="E7" s="8"/>
    </row>
    <row r="8" spans="2:5" x14ac:dyDescent="0.2">
      <c r="B8" s="6"/>
      <c r="C8" s="6"/>
      <c r="D8" s="6"/>
      <c r="E8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topLeftCell="A2" zoomScale="110" zoomScaleNormal="110" workbookViewId="0">
      <selection activeCell="G5" sqref="G5"/>
    </sheetView>
  </sheetViews>
  <sheetFormatPr baseColWidth="10" defaultColWidth="9.140625" defaultRowHeight="12" x14ac:dyDescent="0.2"/>
  <cols>
    <col min="1" max="1" width="2" style="1" customWidth="1"/>
    <col min="2" max="2" width="20.42578125" style="1" bestFit="1" customWidth="1"/>
    <col min="3" max="16384" width="9.140625" style="1"/>
  </cols>
  <sheetData>
    <row r="1" spans="2:5" ht="15.75" x14ac:dyDescent="0.25">
      <c r="B1" s="2" t="s">
        <v>43</v>
      </c>
    </row>
    <row r="3" spans="2:5" ht="12.75" thickBot="1" x14ac:dyDescent="0.25">
      <c r="B3" s="3"/>
      <c r="C3" s="4" t="s">
        <v>10</v>
      </c>
      <c r="D3" s="4" t="s">
        <v>11</v>
      </c>
      <c r="E3" s="4" t="s">
        <v>12</v>
      </c>
    </row>
    <row r="4" spans="2:5" x14ac:dyDescent="0.2">
      <c r="B4" s="6" t="s">
        <v>9</v>
      </c>
      <c r="C4" s="7">
        <v>22.515251444</v>
      </c>
      <c r="D4" s="7">
        <v>26.032605005000001</v>
      </c>
      <c r="E4" s="7">
        <v>26.314598263000001</v>
      </c>
    </row>
    <row r="5" spans="2:5" x14ac:dyDescent="0.2">
      <c r="B5" s="1" t="s">
        <v>8</v>
      </c>
      <c r="C5" s="9">
        <v>0.80329281353949789</v>
      </c>
      <c r="D5" s="9">
        <v>0.79014052477841912</v>
      </c>
      <c r="E5" s="9">
        <v>0.78437246085651935</v>
      </c>
    </row>
    <row r="6" spans="2:5" x14ac:dyDescent="0.2">
      <c r="C6" s="5"/>
      <c r="D6" s="5"/>
      <c r="E6" s="5"/>
    </row>
    <row r="7" spans="2:5" x14ac:dyDescent="0.2">
      <c r="C7" s="5"/>
      <c r="D7" s="5"/>
      <c r="E7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:M17"/>
  <sheetViews>
    <sheetView topLeftCell="B1" zoomScale="80" zoomScaleNormal="80" workbookViewId="0">
      <selection activeCell="G17" sqref="G17"/>
    </sheetView>
  </sheetViews>
  <sheetFormatPr baseColWidth="10" defaultColWidth="9.140625" defaultRowHeight="12" x14ac:dyDescent="0.2"/>
  <cols>
    <col min="1" max="1" width="2" style="11" customWidth="1"/>
    <col min="2" max="2" width="9.85546875" style="11" bestFit="1" customWidth="1"/>
    <col min="3" max="12" width="9.140625" style="11"/>
    <col min="13" max="13" width="1" style="11" customWidth="1"/>
    <col min="14" max="16384" width="9.140625" style="11"/>
  </cols>
  <sheetData>
    <row r="1" spans="2:13" ht="27.75" customHeight="1" x14ac:dyDescent="0.2">
      <c r="B1" s="10" t="s">
        <v>44</v>
      </c>
    </row>
    <row r="2" spans="2:13" ht="12.75" thickBot="1" x14ac:dyDescent="0.25">
      <c r="B2" s="12" t="s">
        <v>13</v>
      </c>
      <c r="C2" s="13" t="s">
        <v>14</v>
      </c>
      <c r="D2" s="14" t="s">
        <v>15</v>
      </c>
      <c r="E2" s="14" t="s">
        <v>16</v>
      </c>
      <c r="F2" s="14" t="s">
        <v>17</v>
      </c>
      <c r="G2" s="14" t="s">
        <v>18</v>
      </c>
      <c r="H2" s="14" t="s">
        <v>19</v>
      </c>
      <c r="I2" s="14" t="s">
        <v>20</v>
      </c>
      <c r="J2" s="14" t="s">
        <v>21</v>
      </c>
      <c r="K2" s="14" t="s">
        <v>22</v>
      </c>
      <c r="L2" s="14" t="s">
        <v>23</v>
      </c>
      <c r="M2" s="15"/>
    </row>
    <row r="3" spans="2:13" x14ac:dyDescent="0.2">
      <c r="B3" s="16" t="s">
        <v>45</v>
      </c>
      <c r="C3" s="11">
        <v>98</v>
      </c>
      <c r="D3" s="11">
        <v>113</v>
      </c>
      <c r="E3" s="11">
        <v>122</v>
      </c>
      <c r="F3" s="11">
        <v>89</v>
      </c>
      <c r="G3" s="11">
        <v>84</v>
      </c>
      <c r="H3" s="11">
        <v>90</v>
      </c>
      <c r="I3" s="11">
        <v>92</v>
      </c>
      <c r="J3" s="11">
        <v>98</v>
      </c>
      <c r="K3" s="11">
        <v>110</v>
      </c>
      <c r="L3" s="11">
        <v>112</v>
      </c>
    </row>
    <row r="4" spans="2:13" x14ac:dyDescent="0.2">
      <c r="B4" s="11" t="s">
        <v>46</v>
      </c>
      <c r="C4" s="11">
        <v>113</v>
      </c>
      <c r="D4" s="11">
        <v>132</v>
      </c>
      <c r="E4" s="11">
        <v>140</v>
      </c>
      <c r="F4" s="11">
        <v>120</v>
      </c>
      <c r="G4" s="11">
        <v>123</v>
      </c>
      <c r="H4" s="11">
        <v>99</v>
      </c>
      <c r="I4" s="11">
        <v>101</v>
      </c>
      <c r="J4" s="11">
        <v>105</v>
      </c>
      <c r="K4" s="11">
        <v>101</v>
      </c>
      <c r="L4" s="11">
        <v>99</v>
      </c>
    </row>
    <row r="5" spans="2:13" x14ac:dyDescent="0.2">
      <c r="B5" s="11" t="s">
        <v>47</v>
      </c>
      <c r="C5" s="11">
        <v>122</v>
      </c>
      <c r="D5" s="11">
        <v>114</v>
      </c>
      <c r="E5" s="11">
        <v>101</v>
      </c>
      <c r="F5" s="11">
        <v>98</v>
      </c>
      <c r="G5" s="11">
        <v>94</v>
      </c>
      <c r="H5" s="11">
        <v>92</v>
      </c>
      <c r="I5" s="11">
        <v>88</v>
      </c>
      <c r="J5" s="11">
        <v>84</v>
      </c>
      <c r="K5" s="11">
        <v>81</v>
      </c>
      <c r="L5" s="11">
        <v>74</v>
      </c>
    </row>
    <row r="8" spans="2:13" x14ac:dyDescent="0.2">
      <c r="G8" s="17"/>
    </row>
    <row r="9" spans="2:13" x14ac:dyDescent="0.2">
      <c r="G9" s="17"/>
    </row>
    <row r="10" spans="2:13" x14ac:dyDescent="0.2">
      <c r="G10" s="17"/>
    </row>
    <row r="11" spans="2:13" x14ac:dyDescent="0.2">
      <c r="G11" s="17"/>
    </row>
    <row r="12" spans="2:13" x14ac:dyDescent="0.2">
      <c r="G12" s="17"/>
    </row>
    <row r="13" spans="2:13" x14ac:dyDescent="0.2">
      <c r="G13" s="17"/>
    </row>
    <row r="14" spans="2:13" x14ac:dyDescent="0.2">
      <c r="G14" s="17"/>
    </row>
    <row r="15" spans="2:13" x14ac:dyDescent="0.2">
      <c r="G15" s="17"/>
    </row>
    <row r="16" spans="2:13" x14ac:dyDescent="0.2">
      <c r="G16" s="17"/>
    </row>
    <row r="17" spans="7:7" x14ac:dyDescent="0.2">
      <c r="G17" s="17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DF578C29-0BBE-49AB-91DF-804920B06E4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miniatura!C3:L3</xm:f>
              <xm:sqref>N3</xm:sqref>
            </x14:sparkline>
            <x14:sparkline>
              <xm:f>miniatura!C4:L4</xm:f>
              <xm:sqref>N4</xm:sqref>
            </x14:sparkline>
            <x14:sparkline>
              <xm:f>miniatura!C5:L5</xm:f>
              <xm:sqref>N5</xm:sqref>
            </x14:sparkline>
          </x14:sparklines>
        </x14:sparklineGroup>
        <x14:sparklineGroup displayEmptyCellsAs="gap" xr2:uid="{477B36CB-6189-4D0F-A788-80251F7A836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miniatura!C3:L3</xm:f>
              <xm:sqref>N10</xm:sqref>
            </x14:sparkline>
          </x14:sparklines>
        </x14:sparklineGroup>
        <x14:sparklineGroup displayEmptyCellsAs="gap" xr2:uid="{CEF5492E-2986-4910-B26A-EF3B714397F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miniatura!C4:L4</xm:f>
              <xm:sqref>N11</xm:sqref>
            </x14:sparkline>
            <x14:sparkline>
              <xm:f>miniatura!C5:L5</xm:f>
              <xm:sqref>N12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D16"/>
  <sheetViews>
    <sheetView topLeftCell="E1" workbookViewId="0">
      <selection activeCell="J18" sqref="J18"/>
    </sheetView>
  </sheetViews>
  <sheetFormatPr baseColWidth="10" defaultColWidth="8.7109375" defaultRowHeight="15" x14ac:dyDescent="0.25"/>
  <cols>
    <col min="1" max="1" width="8.7109375" style="18"/>
    <col min="2" max="2" width="15.42578125" style="18" bestFit="1" customWidth="1"/>
    <col min="3" max="3" width="21.42578125" style="18" customWidth="1"/>
    <col min="4" max="16384" width="8.7109375" style="18"/>
  </cols>
  <sheetData>
    <row r="1" spans="1:4" ht="15.75" x14ac:dyDescent="0.25">
      <c r="A1" s="10" t="s">
        <v>48</v>
      </c>
    </row>
    <row r="4" spans="1:4" x14ac:dyDescent="0.25">
      <c r="B4" s="18" t="s">
        <v>24</v>
      </c>
      <c r="C4" s="18" t="s">
        <v>25</v>
      </c>
      <c r="D4" s="18" t="s">
        <v>26</v>
      </c>
    </row>
    <row r="5" spans="1:4" x14ac:dyDescent="0.25">
      <c r="B5" s="18" t="s">
        <v>27</v>
      </c>
      <c r="C5" s="18" t="s">
        <v>28</v>
      </c>
      <c r="D5" s="18">
        <v>19.5</v>
      </c>
    </row>
    <row r="6" spans="1:4" x14ac:dyDescent="0.25">
      <c r="B6" s="18" t="s">
        <v>27</v>
      </c>
      <c r="C6" s="18" t="s">
        <v>29</v>
      </c>
      <c r="D6" s="18">
        <v>5.6</v>
      </c>
    </row>
    <row r="7" spans="1:4" x14ac:dyDescent="0.25">
      <c r="B7" s="18" t="s">
        <v>27</v>
      </c>
      <c r="C7" s="18" t="s">
        <v>30</v>
      </c>
      <c r="D7" s="18">
        <v>4.8</v>
      </c>
    </row>
    <row r="8" spans="1:4" x14ac:dyDescent="0.25">
      <c r="B8" s="18" t="s">
        <v>27</v>
      </c>
      <c r="C8" s="18" t="s">
        <v>31</v>
      </c>
      <c r="D8" s="18">
        <v>10.4</v>
      </c>
    </row>
    <row r="9" spans="1:4" x14ac:dyDescent="0.25">
      <c r="B9" s="18" t="s">
        <v>32</v>
      </c>
      <c r="C9" s="18" t="s">
        <v>33</v>
      </c>
      <c r="D9" s="18">
        <v>21.3</v>
      </c>
    </row>
    <row r="10" spans="1:4" x14ac:dyDescent="0.25">
      <c r="B10" s="18" t="s">
        <v>32</v>
      </c>
      <c r="C10" s="18" t="s">
        <v>34</v>
      </c>
      <c r="D10" s="18">
        <v>3.9</v>
      </c>
    </row>
    <row r="11" spans="1:4" x14ac:dyDescent="0.25">
      <c r="B11" s="18" t="s">
        <v>32</v>
      </c>
      <c r="C11" s="18" t="s">
        <v>35</v>
      </c>
      <c r="D11" s="18">
        <v>3.4</v>
      </c>
    </row>
    <row r="12" spans="1:4" x14ac:dyDescent="0.25">
      <c r="B12" s="18" t="s">
        <v>32</v>
      </c>
      <c r="C12" s="18" t="s">
        <v>36</v>
      </c>
      <c r="D12" s="18">
        <v>1.2</v>
      </c>
    </row>
    <row r="13" spans="1:4" x14ac:dyDescent="0.25">
      <c r="B13" s="18" t="s">
        <v>37</v>
      </c>
      <c r="C13" s="18" t="s">
        <v>38</v>
      </c>
      <c r="D13" s="18">
        <v>22.9</v>
      </c>
    </row>
    <row r="14" spans="1:4" x14ac:dyDescent="0.25">
      <c r="B14" s="18" t="s">
        <v>37</v>
      </c>
      <c r="C14" s="18" t="s">
        <v>39</v>
      </c>
      <c r="D14" s="18">
        <v>2.8</v>
      </c>
    </row>
    <row r="15" spans="1:4" x14ac:dyDescent="0.25">
      <c r="B15" s="18" t="s">
        <v>37</v>
      </c>
      <c r="C15" s="18" t="s">
        <v>40</v>
      </c>
      <c r="D15" s="18">
        <v>1.1000000000000001</v>
      </c>
    </row>
    <row r="16" spans="1:4" x14ac:dyDescent="0.25">
      <c r="B16" s="18" t="s">
        <v>37</v>
      </c>
      <c r="C16" s="18" t="s">
        <v>41</v>
      </c>
      <c r="D16" s="18">
        <v>2.4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C9"/>
  <sheetViews>
    <sheetView tabSelected="1" topLeftCell="C1" workbookViewId="0">
      <selection activeCell="C2" sqref="C2"/>
    </sheetView>
  </sheetViews>
  <sheetFormatPr baseColWidth="10" defaultColWidth="9.140625" defaultRowHeight="12" x14ac:dyDescent="0.2"/>
  <cols>
    <col min="1" max="1" width="2" style="11" customWidth="1"/>
    <col min="2" max="2" width="22.85546875" style="11" bestFit="1" customWidth="1"/>
    <col min="3" max="16384" width="9.140625" style="11"/>
  </cols>
  <sheetData>
    <row r="1" spans="2:3" ht="15.75" x14ac:dyDescent="0.25">
      <c r="B1" s="19" t="s">
        <v>49</v>
      </c>
    </row>
    <row r="4" spans="2:3" x14ac:dyDescent="0.2">
      <c r="B4" s="11" t="s">
        <v>2</v>
      </c>
      <c r="C4" s="20">
        <v>14.5</v>
      </c>
    </row>
    <row r="5" spans="2:3" x14ac:dyDescent="0.2">
      <c r="B5" s="11" t="s">
        <v>5</v>
      </c>
      <c r="C5" s="20">
        <v>-4.4000000000000004</v>
      </c>
    </row>
    <row r="6" spans="2:3" x14ac:dyDescent="0.2">
      <c r="B6" s="11" t="s">
        <v>6</v>
      </c>
      <c r="C6" s="20">
        <v>-3.3</v>
      </c>
    </row>
    <row r="7" spans="2:3" x14ac:dyDescent="0.2">
      <c r="B7" s="11" t="s">
        <v>3</v>
      </c>
      <c r="C7" s="20">
        <v>-6.1</v>
      </c>
    </row>
    <row r="8" spans="2:3" x14ac:dyDescent="0.2">
      <c r="B8" s="11" t="s">
        <v>1</v>
      </c>
      <c r="C8" s="20">
        <v>0.3</v>
      </c>
    </row>
    <row r="9" spans="2:3" x14ac:dyDescent="0.2">
      <c r="B9" s="11" t="s">
        <v>7</v>
      </c>
      <c r="C9" s="21">
        <f>SUM(C4:C8)</f>
        <v>1.0000000000000002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SENSITIVITY</vt:lpstr>
      <vt:lpstr>columna</vt:lpstr>
      <vt:lpstr>donuts</vt:lpstr>
      <vt:lpstr>area y linea</vt:lpstr>
      <vt:lpstr>miniatura</vt:lpstr>
      <vt:lpstr>jerarquia</vt:lpstr>
      <vt:lpstr>puentes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2020-03-23T02:50:37Z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